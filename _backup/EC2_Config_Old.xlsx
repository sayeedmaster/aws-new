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Development\scripts\git_scripts\aws-new\_backup\"/>
    </mc:Choice>
  </mc:AlternateContent>
  <xr:revisionPtr revIDLastSave="0" documentId="13_ncr:1_{440826CB-1253-49F6-84F0-3D476C0C5A04}" xr6:coauthVersionLast="47" xr6:coauthVersionMax="47" xr10:uidLastSave="{00000000-0000-0000-0000-000000000000}"/>
  <bookViews>
    <workbookView xWindow="25575" yWindow="2055" windowWidth="26490" windowHeight="15495" xr2:uid="{00000000-000D-0000-FFFF-FFFF00000000}"/>
  </bookViews>
  <sheets>
    <sheet name="ec2_instances" sheetId="1" r:id="rId1"/>
    <sheet name="ebs_volumes" sheetId="3" r:id="rId2"/>
    <sheet name="sg_rules" sheetId="2" r:id="rId3"/>
    <sheet name="look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Q2" i="3" s="1"/>
</calcChain>
</file>

<file path=xl/sharedStrings.xml><?xml version="1.0" encoding="utf-8"?>
<sst xmlns="http://schemas.openxmlformats.org/spreadsheetml/2006/main" count="148" uniqueCount="105">
  <si>
    <t>GroupName</t>
  </si>
  <si>
    <t>GroupDescription</t>
  </si>
  <si>
    <t>VpcId</t>
  </si>
  <si>
    <t>RuleType</t>
  </si>
  <si>
    <t>Protocol</t>
  </si>
  <si>
    <t>FromPort</t>
  </si>
  <si>
    <t>ToPort</t>
  </si>
  <si>
    <t>Source</t>
  </si>
  <si>
    <t>Description</t>
  </si>
  <si>
    <t>Tags</t>
  </si>
  <si>
    <t>AccountId</t>
  </si>
  <si>
    <t>AccountName</t>
  </si>
  <si>
    <t>web-servers-sg</t>
  </si>
  <si>
    <t>Security group for web servers</t>
  </si>
  <si>
    <t>vpc-12345678</t>
  </si>
  <si>
    <t>ingress</t>
  </si>
  <si>
    <t>tcp</t>
  </si>
  <si>
    <t>0.0.0.0/0</t>
  </si>
  <si>
    <t>HTTP access from internet</t>
  </si>
  <si>
    <t>Environment=prod</t>
  </si>
  <si>
    <t>Production</t>
  </si>
  <si>
    <t>HTTPS access from internet</t>
  </si>
  <si>
    <t>10.0.0.0/16</t>
  </si>
  <si>
    <t>SSH access from VPC</t>
  </si>
  <si>
    <t>egress</t>
  </si>
  <si>
    <t>all</t>
  </si>
  <si>
    <t>All outbound traffic</t>
  </si>
  <si>
    <t>InstanceName</t>
  </si>
  <si>
    <t>ImageId</t>
  </si>
  <si>
    <t>InstanceType</t>
  </si>
  <si>
    <t>KeyName</t>
  </si>
  <si>
    <t>SubnetId</t>
  </si>
  <si>
    <t>AvailabilityZone</t>
  </si>
  <si>
    <t>SecurityGroupIds</t>
  </si>
  <si>
    <t>UserData</t>
  </si>
  <si>
    <t>IamInstanceProfile</t>
  </si>
  <si>
    <t>EbsOptimized</t>
  </si>
  <si>
    <t>Monitoring</t>
  </si>
  <si>
    <t>AssociatePublicIpAddress</t>
  </si>
  <si>
    <t>PrivateIpAddress</t>
  </si>
  <si>
    <t>eu-west-1a</t>
  </si>
  <si>
    <t>ipf-aws-vmc-sddc1</t>
  </si>
  <si>
    <t>Domain</t>
  </si>
  <si>
    <t>pfgroup.prvfin.com</t>
  </si>
  <si>
    <t>ie.pfgroup.provfin.com</t>
  </si>
  <si>
    <t>prod01.local</t>
  </si>
  <si>
    <t>prod02.local</t>
  </si>
  <si>
    <t>uk.providentinternational.com</t>
  </si>
  <si>
    <t>VolumeName</t>
  </si>
  <si>
    <t>Size</t>
  </si>
  <si>
    <t>VolumeType</t>
  </si>
  <si>
    <t>Iops</t>
  </si>
  <si>
    <t>Throughput</t>
  </si>
  <si>
    <t>Encrypted</t>
  </si>
  <si>
    <t>KmsKeyId</t>
  </si>
  <si>
    <t>SnapshotId</t>
  </si>
  <si>
    <t>MultiAttachEnabled</t>
  </si>
  <si>
    <t>web-server-data-01</t>
  </si>
  <si>
    <t>gp3</t>
  </si>
  <si>
    <t>Instance</t>
  </si>
  <si>
    <t>DefaultGateway</t>
  </si>
  <si>
    <t>PrimaryDNS</t>
  </si>
  <si>
    <t>SecondaryDNS</t>
  </si>
  <si>
    <t>RootVolumeSize</t>
  </si>
  <si>
    <t>RootVolumeType</t>
  </si>
  <si>
    <t>MetadataOptionsHttpTokens</t>
  </si>
  <si>
    <t>MetadataOptionsHttpEndpoint</t>
  </si>
  <si>
    <t>MetadataOptionsHttpPutResponseHopLimit</t>
  </si>
  <si>
    <t>DisableApiTermination</t>
  </si>
  <si>
    <t>InstanceInitiatedShutdownBehavior</t>
  </si>
  <si>
    <t>CpuCoreCount</t>
  </si>
  <si>
    <t>CpuThreadsPerCore</t>
  </si>
  <si>
    <t>AutoRecovery</t>
  </si>
  <si>
    <t>SriovNetSupport</t>
  </si>
  <si>
    <t>EnaSupport</t>
  </si>
  <si>
    <t>TrafficMirroring</t>
  </si>
  <si>
    <t>enabled</t>
  </si>
  <si>
    <t>stop</t>
  </si>
  <si>
    <t>simple</t>
  </si>
  <si>
    <t>VolumeLabel</t>
  </si>
  <si>
    <t>Data</t>
  </si>
  <si>
    <t>VolumeMount</t>
  </si>
  <si>
    <t>D:</t>
  </si>
  <si>
    <t>t3.micro</t>
  </si>
  <si>
    <t>workgroup</t>
  </si>
  <si>
    <t>ipf:sd:hostname=autotest-vm;ipf:solution=script_test</t>
  </si>
  <si>
    <t>required</t>
  </si>
  <si>
    <t>SSORole</t>
  </si>
  <si>
    <t>InstanceId</t>
  </si>
  <si>
    <t>AdministratorAccess</t>
  </si>
  <si>
    <t>production</t>
  </si>
  <si>
    <t>az1autoprod-vm</t>
  </si>
  <si>
    <t>ami-0440a5f5e96917e8f</t>
  </si>
  <si>
    <t>autoprod-vm-keypair</t>
  </si>
  <si>
    <t>subnet-044949704b137ec32</t>
  </si>
  <si>
    <t>172.31.1.10</t>
  </si>
  <si>
    <t>sg-0f98c1a2a752ca15d,sg-0e5df311e23ecdb02</t>
  </si>
  <si>
    <t>iamrole-cloudwickprod-ec2</t>
  </si>
  <si>
    <t>InstanceMetadataTags</t>
  </si>
  <si>
    <t>terminate</t>
  </si>
  <si>
    <t>default</t>
  </si>
  <si>
    <t>none</t>
  </si>
  <si>
    <t>Tenancy</t>
  </si>
  <si>
    <t>HostId</t>
  </si>
  <si>
    <t>Affinity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</si>
</sst>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/>
    <xf numFmtId="0" fontId="2" fillId="0" borderId="2" xfId="0" applyFont="1" applyBorder="1"/>
    <xf numFmtId="0" fontId="0" fillId="0" borderId="2" xfId="0" applyBorder="1"/>
    <xf numFmtId="1" fontId="1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0" fillId="0" borderId="1" xfId="0" applyBorder="1"/>
    <xf numFmtId="1" fontId="0" fillId="0" borderId="1" xfId="0" applyNumberFormat="1" applyBorder="1" applyAlignment="1">
      <alignment horizontal="right"/>
    </xf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O2"/>
  <sheetViews>
    <sheetView tabSelected="1" workbookViewId="0">
      <selection activeCell="AC3" sqref="AC3"/>
    </sheetView>
  </sheetViews>
  <sheetFormatPr defaultColWidth="14.7109375" defaultRowHeight="15" x14ac:dyDescent="0.25"/>
  <cols>
    <col min="1" max="1" width="19.42578125" style="11" bestFit="1" customWidth="1"/>
    <col min="2" max="2" width="18.140625" style="11" customWidth="1"/>
    <col min="3" max="3" width="13.140625" style="12" bestFit="1" customWidth="1"/>
    <col min="4" max="4" width="15.5703125" style="11" bestFit="1" customWidth="1"/>
    <col min="5" max="5" width="15.5703125" style="11" customWidth="1"/>
    <col min="6" max="6" width="17.7109375" style="11" bestFit="1" customWidth="1"/>
    <col min="7" max="7" width="22.85546875" style="11" bestFit="1" customWidth="1"/>
    <col min="8" max="8" width="12.7109375" style="11" bestFit="1" customWidth="1"/>
    <col min="9" max="9" width="21.85546875" style="11" customWidth="1"/>
    <col min="10" max="10" width="26" style="11" bestFit="1" customWidth="1"/>
    <col min="11" max="11" width="16.28515625" style="11" bestFit="1" customWidth="1"/>
    <col min="12" max="12" width="24.140625" style="11" bestFit="1" customWidth="1"/>
    <col min="13" max="13" width="32.140625" style="11" customWidth="1"/>
    <col min="14" max="14" width="26.140625" style="11" bestFit="1" customWidth="1"/>
    <col min="15" max="15" width="13.42578125" style="11" bestFit="1" customWidth="1"/>
    <col min="16" max="16" width="15.85546875" style="11" bestFit="1" customWidth="1"/>
    <col min="17" max="17" width="16.5703125" style="11" bestFit="1" customWidth="1"/>
    <col min="18" max="19" width="16.5703125" style="11" customWidth="1"/>
    <col min="20" max="20" width="11" style="11" bestFit="1" customWidth="1"/>
    <col min="21" max="21" width="20.28515625" style="11" customWidth="1"/>
    <col min="22" max="22" width="20.42578125" style="11" customWidth="1"/>
    <col min="23" max="23" width="41" style="11" bestFit="1" customWidth="1"/>
    <col min="24" max="24" width="29.7109375" style="11" customWidth="1"/>
    <col min="25" max="25" width="19.7109375" style="11" customWidth="1"/>
    <col min="26" max="26" width="33.5703125" style="11" bestFit="1" customWidth="1"/>
    <col min="27" max="27" width="13.5703125" style="11" bestFit="1" customWidth="1"/>
    <col min="28" max="28" width="15.85546875" style="11" bestFit="1" customWidth="1"/>
    <col min="29" max="29" width="11.140625" style="11" bestFit="1" customWidth="1"/>
    <col min="30" max="30" width="15.140625" style="11" bestFit="1" customWidth="1"/>
    <col min="31" max="31" width="14" style="11" bestFit="1" customWidth="1"/>
    <col min="32" max="32" width="15" style="11" customWidth="1"/>
    <col min="33" max="33" width="55.5703125" style="11" bestFit="1" customWidth="1"/>
    <col min="34" max="34" width="32.140625" style="11" customWidth="1"/>
    <col min="35" max="35" width="11.85546875" style="11" bestFit="1" customWidth="1"/>
    <col min="36" max="36" width="15.5703125" style="11" bestFit="1" customWidth="1"/>
    <col min="37" max="37" width="11.5703125" style="11" bestFit="1" customWidth="1"/>
    <col min="38" max="38" width="14" style="11" bestFit="1" customWidth="1"/>
    <col min="39" max="16384" width="14.7109375" style="11"/>
  </cols>
  <sheetData>
    <row r="1" spans="1:41" s="10" customFormat="1" ht="18.75" customHeight="1" x14ac:dyDescent="0.25">
      <c r="A1" s="10" t="s">
        <v>87</v>
      </c>
      <c r="B1" s="10" t="s">
        <v>11</v>
      </c>
      <c r="C1" s="9" t="s">
        <v>10</v>
      </c>
      <c r="D1" s="10" t="s">
        <v>32</v>
      </c>
      <c r="E1" s="10" t="s">
        <v>88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39</v>
      </c>
      <c r="L1" s="10" t="s">
        <v>38</v>
      </c>
      <c r="M1" s="10" t="s">
        <v>33</v>
      </c>
      <c r="N1" s="10" t="s">
        <v>35</v>
      </c>
      <c r="O1" s="10" t="s">
        <v>36</v>
      </c>
      <c r="P1" s="10" t="s">
        <v>63</v>
      </c>
      <c r="Q1" s="10" t="s">
        <v>64</v>
      </c>
      <c r="R1" s="10" t="s">
        <v>53</v>
      </c>
      <c r="S1" s="10" t="s">
        <v>54</v>
      </c>
      <c r="T1" s="10" t="s">
        <v>37</v>
      </c>
      <c r="U1" s="10" t="s">
        <v>65</v>
      </c>
      <c r="V1" s="10" t="s">
        <v>66</v>
      </c>
      <c r="W1" s="10" t="s">
        <v>67</v>
      </c>
      <c r="X1" s="13" t="s">
        <v>98</v>
      </c>
      <c r="Y1" s="10" t="s">
        <v>68</v>
      </c>
      <c r="Z1" s="10" t="s">
        <v>69</v>
      </c>
      <c r="AA1" s="10" t="s">
        <v>72</v>
      </c>
      <c r="AB1" s="10" t="s">
        <v>73</v>
      </c>
      <c r="AC1" s="10" t="s">
        <v>74</v>
      </c>
      <c r="AD1" s="10" t="s">
        <v>75</v>
      </c>
      <c r="AE1" s="10" t="s">
        <v>70</v>
      </c>
      <c r="AF1" s="10" t="s">
        <v>71</v>
      </c>
      <c r="AG1" s="10" t="s">
        <v>9</v>
      </c>
      <c r="AH1" s="10" t="s">
        <v>34</v>
      </c>
      <c r="AI1" s="10" t="s">
        <v>42</v>
      </c>
      <c r="AJ1" s="10" t="s">
        <v>60</v>
      </c>
      <c r="AK1" s="10" t="s">
        <v>61</v>
      </c>
      <c r="AL1" s="10" t="s">
        <v>62</v>
      </c>
      <c r="AM1" s="10" t="s">
        <v>102</v>
      </c>
      <c r="AN1" s="10" t="s">
        <v>103</v>
      </c>
      <c r="AO1" s="10" t="s">
        <v>104</v>
      </c>
    </row>
    <row r="2" spans="1:41" ht="18.75" customHeight="1" x14ac:dyDescent="0.25">
      <c r="A2" s="11" t="s">
        <v>89</v>
      </c>
      <c r="B2" t="s">
        <v>90</v>
      </c>
      <c r="C2" s="15">
        <v>222482127286</v>
      </c>
      <c r="D2" t="s">
        <v>40</v>
      </c>
      <c r="F2" t="s">
        <v>91</v>
      </c>
      <c r="G2" t="s">
        <v>92</v>
      </c>
      <c r="H2" t="s">
        <v>83</v>
      </c>
      <c r="I2" t="s">
        <v>93</v>
      </c>
      <c r="J2" t="s">
        <v>94</v>
      </c>
      <c r="K2" t="s">
        <v>95</v>
      </c>
      <c r="L2" t="b">
        <v>0</v>
      </c>
      <c r="M2" t="s">
        <v>96</v>
      </c>
      <c r="N2" t="s">
        <v>97</v>
      </c>
      <c r="O2" t="b">
        <v>0</v>
      </c>
      <c r="P2">
        <v>30</v>
      </c>
      <c r="Q2" t="s">
        <v>58</v>
      </c>
      <c r="R2" t="b">
        <v>1</v>
      </c>
      <c r="S2"/>
      <c r="T2" t="b">
        <v>0</v>
      </c>
      <c r="U2" t="s">
        <v>86</v>
      </c>
      <c r="V2" t="s">
        <v>76</v>
      </c>
      <c r="W2">
        <v>1</v>
      </c>
      <c r="X2" t="b">
        <v>1</v>
      </c>
      <c r="Y2" t="b">
        <v>1</v>
      </c>
      <c r="Z2" t="s">
        <v>77</v>
      </c>
      <c r="AA2" t="s">
        <v>100</v>
      </c>
      <c r="AB2" t="s">
        <v>101</v>
      </c>
      <c r="AC2" t="b">
        <v>0</v>
      </c>
      <c r="AD2" s="11" t="b">
        <v>0</v>
      </c>
      <c r="AE2"/>
      <c r="AG2" s="11" t="s">
        <v>85</v>
      </c>
      <c r="AI2" s="11" t="s">
        <v>84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1A2719D-7A9B-43DD-B9CF-8C58CDF19886}">
          <x14:formula1>
            <xm:f>lookup!$A$2:$A$7</xm:f>
          </x14:formula1>
          <xm:sqref>AI2:AL2</xm:sqref>
        </x14:dataValidation>
        <x14:dataValidation type="list" allowBlank="1" showInputMessage="1" showErrorMessage="1" xr:uid="{439A3BFE-EEA8-448F-83E7-52A03BA69347}">
          <x14:formula1>
            <xm:f>lookup!$B$2:$B$3</xm:f>
          </x14:formula1>
          <xm:sqref>Z2</xm:sqref>
        </x14:dataValidation>
        <x14:dataValidation type="list" allowBlank="1" showInputMessage="1" showErrorMessage="1" xr:uid="{F43347FC-07E1-47EB-BB56-D42AD0E2AF9F}">
          <x14:formula1>
            <xm:f>lookup!$C$2:$C$3</xm:f>
          </x14:formula1>
          <xm:sqref>AA2</xm:sqref>
        </x14:dataValidation>
        <x14:dataValidation type="list" allowBlank="1" showInputMessage="1" showErrorMessage="1" xr:uid="{EFA6AA99-9CBF-497B-A383-3213638075A5}">
          <x14:formula1>
            <xm:f>lookup!$D$2:$D$3</xm:f>
          </x14:formula1>
          <xm:sqref>AB2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2"/>
  <sheetViews>
    <sheetView workbookViewId="0">
      <selection activeCell="B8" sqref="B8"/>
    </sheetView>
  </sheetViews>
  <sheetFormatPr defaultRowHeight="15" x14ac:dyDescent="0.25"/>
  <cols>
    <col min="1" max="1" width="19.42578125" bestFit="1" customWidth="1"/>
    <col min="2" max="2" width="17.7109375" bestFit="1" customWidth="1"/>
    <col min="3" max="3" width="19.28515625" bestFit="1" customWidth="1"/>
    <col min="4" max="4" width="5" bestFit="1" customWidth="1"/>
    <col min="5" max="5" width="12.28515625" bestFit="1" customWidth="1"/>
    <col min="6" max="6" width="14" bestFit="1" customWidth="1"/>
    <col min="7" max="7" width="12.7109375" bestFit="1" customWidth="1"/>
    <col min="8" max="8" width="15.5703125" bestFit="1" customWidth="1"/>
    <col min="9" max="9" width="13.140625" style="3" bestFit="1" customWidth="1"/>
    <col min="10" max="10" width="21" bestFit="1" customWidth="1"/>
    <col min="14" max="14" width="17.85546875" customWidth="1"/>
    <col min="15" max="15" width="23.28515625" bestFit="1" customWidth="1"/>
    <col min="16" max="16" width="18.85546875" bestFit="1" customWidth="1"/>
    <col min="17" max="17" width="34.28515625" customWidth="1"/>
  </cols>
  <sheetData>
    <row r="1" spans="1:17" s="13" customFormat="1" x14ac:dyDescent="0.25">
      <c r="A1" s="13" t="s">
        <v>87</v>
      </c>
      <c r="B1" s="13" t="s">
        <v>59</v>
      </c>
      <c r="C1" s="13" t="s">
        <v>48</v>
      </c>
      <c r="D1" s="13" t="s">
        <v>49</v>
      </c>
      <c r="E1" s="13" t="s">
        <v>50</v>
      </c>
      <c r="F1" s="13" t="s">
        <v>81</v>
      </c>
      <c r="G1" s="13" t="s">
        <v>79</v>
      </c>
      <c r="H1" s="13" t="s">
        <v>32</v>
      </c>
      <c r="I1" s="14" t="s">
        <v>10</v>
      </c>
      <c r="J1" s="13" t="s">
        <v>11</v>
      </c>
      <c r="K1" s="13" t="s">
        <v>51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56</v>
      </c>
      <c r="Q1" s="13" t="s">
        <v>9</v>
      </c>
    </row>
    <row r="2" spans="1:17" x14ac:dyDescent="0.25">
      <c r="A2" s="11" t="s">
        <v>89</v>
      </c>
      <c r="B2" t="str">
        <f>ec2_instances!$F$2</f>
        <v>az1autoprod-vm</v>
      </c>
      <c r="C2" t="s">
        <v>57</v>
      </c>
      <c r="D2">
        <v>100</v>
      </c>
      <c r="E2" t="s">
        <v>58</v>
      </c>
      <c r="F2" t="s">
        <v>82</v>
      </c>
      <c r="G2" t="s">
        <v>80</v>
      </c>
      <c r="H2" t="s">
        <v>40</v>
      </c>
      <c r="I2" s="2">
        <v>390439356506</v>
      </c>
      <c r="J2" t="s">
        <v>41</v>
      </c>
      <c r="K2">
        <v>4000</v>
      </c>
      <c r="L2">
        <v>250</v>
      </c>
      <c r="M2" t="b">
        <v>1</v>
      </c>
      <c r="P2" t="b">
        <v>0</v>
      </c>
      <c r="Q2" t="str">
        <f>_xlfn.XLOOKUP(B2,ec2_instances!F:F,ec2_instances!AG:AG)</f>
        <v>ipf:sd:hostname=autotest-vm;ipf:solution=script_test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5"/>
  <sheetViews>
    <sheetView workbookViewId="0">
      <selection activeCell="A2" sqref="A2:L5"/>
    </sheetView>
  </sheetViews>
  <sheetFormatPr defaultRowHeight="15" x14ac:dyDescent="0.25"/>
  <cols>
    <col min="1" max="1" width="16.42578125" bestFit="1" customWidth="1"/>
    <col min="2" max="2" width="32.42578125" bestFit="1" customWidth="1"/>
    <col min="3" max="3" width="12.7109375" bestFit="1" customWidth="1"/>
    <col min="4" max="4" width="8.85546875" bestFit="1" customWidth="1"/>
    <col min="5" max="5" width="8.42578125" bestFit="1" customWidth="1"/>
    <col min="6" max="6" width="13.5703125" style="1" bestFit="1" customWidth="1"/>
    <col min="7" max="7" width="6.7109375" style="1" bestFit="1" customWidth="1"/>
    <col min="8" max="8" width="13.5703125" bestFit="1" customWidth="1"/>
    <col min="9" max="9" width="35.28515625" bestFit="1" customWidth="1"/>
    <col min="10" max="10" width="17.42578125" bestFit="1" customWidth="1"/>
    <col min="11" max="11" width="17.7109375" customWidth="1"/>
    <col min="12" max="12" width="14.85546875" style="1" bestFit="1" customWidth="1"/>
  </cols>
  <sheetData>
    <row r="1" spans="1:12" ht="18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  <c r="G1" s="8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8" t="s">
        <v>11</v>
      </c>
    </row>
    <row r="2" spans="1:12" ht="18.75" customHeight="1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7">
        <v>80</v>
      </c>
      <c r="G2" s="7">
        <v>80</v>
      </c>
      <c r="H2" s="5" t="s">
        <v>17</v>
      </c>
      <c r="I2" s="5" t="s">
        <v>18</v>
      </c>
      <c r="J2" s="5" t="s">
        <v>19</v>
      </c>
      <c r="K2" s="6">
        <v>390439356506</v>
      </c>
      <c r="L2" s="5" t="s">
        <v>20</v>
      </c>
    </row>
    <row r="3" spans="1:12" ht="18.75" customHeight="1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7">
        <v>443</v>
      </c>
      <c r="G3" s="7">
        <v>443</v>
      </c>
      <c r="H3" s="5" t="s">
        <v>17</v>
      </c>
      <c r="I3" s="5" t="s">
        <v>21</v>
      </c>
      <c r="J3" s="5" t="s">
        <v>19</v>
      </c>
      <c r="K3" s="6">
        <v>390439356506</v>
      </c>
      <c r="L3" s="5" t="s">
        <v>20</v>
      </c>
    </row>
    <row r="4" spans="1:12" ht="18.75" customHeight="1" x14ac:dyDescent="0.25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7">
        <v>22</v>
      </c>
      <c r="G4" s="7">
        <v>22</v>
      </c>
      <c r="H4" s="5" t="s">
        <v>22</v>
      </c>
      <c r="I4" s="5" t="s">
        <v>23</v>
      </c>
      <c r="J4" s="5" t="s">
        <v>19</v>
      </c>
      <c r="K4" s="6">
        <v>390439356506</v>
      </c>
      <c r="L4" s="5" t="s">
        <v>20</v>
      </c>
    </row>
    <row r="5" spans="1:12" ht="18.75" customHeight="1" x14ac:dyDescent="0.25">
      <c r="A5" s="5" t="s">
        <v>12</v>
      </c>
      <c r="B5" s="5" t="s">
        <v>13</v>
      </c>
      <c r="C5" s="5" t="s">
        <v>14</v>
      </c>
      <c r="D5" s="5" t="s">
        <v>24</v>
      </c>
      <c r="E5" s="5" t="s">
        <v>25</v>
      </c>
      <c r="F5" s="7">
        <v>-1</v>
      </c>
      <c r="G5" s="7">
        <v>-1</v>
      </c>
      <c r="H5" s="5" t="s">
        <v>17</v>
      </c>
      <c r="I5" s="5" t="s">
        <v>26</v>
      </c>
      <c r="J5" s="5" t="s">
        <v>19</v>
      </c>
      <c r="K5" s="6">
        <v>390439356506</v>
      </c>
      <c r="L5" s="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64A7-A28D-446B-BF65-8B5ADC476A37}">
  <dimension ref="A1:D7"/>
  <sheetViews>
    <sheetView workbookViewId="0">
      <selection activeCell="E13" sqref="E13"/>
    </sheetView>
  </sheetViews>
  <sheetFormatPr defaultRowHeight="15" x14ac:dyDescent="0.25"/>
  <cols>
    <col min="1" max="1" width="28.85546875" bestFit="1" customWidth="1"/>
    <col min="2" max="2" width="33.5703125" bestFit="1" customWidth="1"/>
    <col min="3" max="3" width="13.5703125" bestFit="1" customWidth="1"/>
    <col min="4" max="4" width="15.85546875" bestFit="1" customWidth="1"/>
  </cols>
  <sheetData>
    <row r="1" spans="1:4" x14ac:dyDescent="0.25">
      <c r="A1" t="s">
        <v>42</v>
      </c>
      <c r="B1" s="10" t="s">
        <v>69</v>
      </c>
      <c r="C1" s="13" t="s">
        <v>72</v>
      </c>
      <c r="D1" s="13" t="s">
        <v>73</v>
      </c>
    </row>
    <row r="2" spans="1:4" x14ac:dyDescent="0.25">
      <c r="A2" t="s">
        <v>43</v>
      </c>
      <c r="B2" t="s">
        <v>77</v>
      </c>
      <c r="C2" t="s">
        <v>100</v>
      </c>
      <c r="D2" t="s">
        <v>78</v>
      </c>
    </row>
    <row r="3" spans="1:4" x14ac:dyDescent="0.25">
      <c r="A3" t="s">
        <v>44</v>
      </c>
      <c r="B3" t="s">
        <v>99</v>
      </c>
      <c r="C3" t="s">
        <v>76</v>
      </c>
      <c r="D3" t="s">
        <v>101</v>
      </c>
    </row>
    <row r="4" spans="1:4" x14ac:dyDescent="0.25">
      <c r="A4" t="s">
        <v>45</v>
      </c>
    </row>
    <row r="5" spans="1:4" x14ac:dyDescent="0.25">
      <c r="A5" t="s">
        <v>46</v>
      </c>
    </row>
    <row r="6" spans="1:4" x14ac:dyDescent="0.25">
      <c r="A6" t="s">
        <v>47</v>
      </c>
    </row>
    <row r="7" spans="1:4" x14ac:dyDescent="0.25">
      <c r="A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ec2_instances</vt:lpstr>
      <vt:lpstr>ebs_volumes</vt:lpstr>
      <vt:lpstr>sg_rules</vt:lpstr>
      <vt:lpstr>lookup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Master, Sayeed</cp:lastModifiedBy>
  <dcterms:created xsi:type="dcterms:W3CDTF">2025-07-02T15:53:23Z</dcterms:created>
  <dcterms:modified xsi:type="dcterms:W3CDTF">2025-11-04T17:16:00Z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2025-07-02T20:11:55Z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265644af-e717-4409-b886-b48fa792a8e3</vt:lpwstr>
  </property>
  <property fmtid="{D5CDD505-2E9C-101B-9397-08002B2CF9AE}" pid="8" name="MSIP_Label_a7295cc1-d279-42ac-ab4d-3b0f4fece050_ContentBits">
    <vt:lpwstr>0</vt:lpwstr>
  </property>
</Properties>
</file>